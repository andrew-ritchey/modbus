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174" documentId="11_7E1BA696EB127CD90599FFDB26BAC44522C605A1" xr6:coauthVersionLast="47" xr6:coauthVersionMax="47" xr10:uidLastSave="{72ED8401-7683-4A5E-A8C7-95BE94FD964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2" i="1"/>
  <c r="B2" i="1" l="1"/>
  <c r="F2" i="1"/>
  <c r="B65" i="1"/>
  <c r="F65" i="1"/>
  <c r="B64" i="1"/>
  <c r="F64" i="1"/>
  <c r="B63" i="1"/>
  <c r="F63" i="1"/>
  <c r="B62" i="1"/>
  <c r="F62" i="1"/>
  <c r="B61" i="1"/>
  <c r="F61" i="1"/>
  <c r="B60" i="1"/>
  <c r="F60" i="1"/>
  <c r="B59" i="1"/>
  <c r="F59" i="1"/>
  <c r="B58" i="1"/>
  <c r="F58" i="1"/>
  <c r="B57" i="1"/>
  <c r="F57" i="1"/>
  <c r="B56" i="1"/>
  <c r="F56" i="1"/>
  <c r="B55" i="1"/>
  <c r="F55" i="1"/>
  <c r="B54" i="1"/>
  <c r="F54" i="1"/>
  <c r="B53" i="1"/>
  <c r="F53" i="1"/>
  <c r="B52" i="1"/>
  <c r="F52" i="1"/>
  <c r="B51" i="1"/>
  <c r="F51" i="1"/>
  <c r="B50" i="1"/>
  <c r="F50" i="1"/>
  <c r="B49" i="1"/>
  <c r="F49" i="1"/>
  <c r="B48" i="1"/>
  <c r="F48" i="1"/>
  <c r="B47" i="1"/>
  <c r="F47" i="1"/>
  <c r="B46" i="1"/>
  <c r="F46" i="1"/>
  <c r="B45" i="1"/>
  <c r="F45" i="1"/>
  <c r="B44" i="1"/>
  <c r="F44" i="1"/>
  <c r="B43" i="1"/>
  <c r="F43" i="1"/>
  <c r="B42" i="1"/>
  <c r="F42" i="1"/>
  <c r="B41" i="1"/>
  <c r="F41" i="1"/>
  <c r="B40" i="1"/>
  <c r="F40" i="1"/>
  <c r="B39" i="1"/>
  <c r="F39" i="1"/>
  <c r="B38" i="1"/>
  <c r="F38" i="1"/>
  <c r="B37" i="1"/>
  <c r="F37" i="1"/>
  <c r="B36" i="1"/>
  <c r="F36" i="1"/>
  <c r="B35" i="1"/>
  <c r="F35" i="1"/>
  <c r="B34" i="1"/>
  <c r="F34" i="1"/>
  <c r="B33" i="1"/>
  <c r="F33" i="1"/>
  <c r="B32" i="1"/>
  <c r="F32" i="1"/>
  <c r="B31" i="1"/>
  <c r="F31" i="1"/>
  <c r="B30" i="1"/>
  <c r="F30" i="1"/>
  <c r="B29" i="1"/>
  <c r="F29" i="1"/>
  <c r="B28" i="1"/>
  <c r="F28" i="1"/>
  <c r="B27" i="1"/>
  <c r="F27" i="1"/>
  <c r="B26" i="1"/>
  <c r="F26" i="1"/>
  <c r="B25" i="1"/>
  <c r="F25" i="1"/>
  <c r="B24" i="1"/>
  <c r="F24" i="1"/>
  <c r="B23" i="1"/>
  <c r="F23" i="1"/>
  <c r="B22" i="1"/>
  <c r="F22" i="1"/>
  <c r="B21" i="1"/>
  <c r="F21" i="1"/>
  <c r="B20" i="1"/>
  <c r="F20" i="1"/>
  <c r="B19" i="1"/>
  <c r="F19" i="1"/>
  <c r="B18" i="1"/>
  <c r="F18" i="1"/>
  <c r="B17" i="1"/>
  <c r="F17" i="1"/>
  <c r="B16" i="1"/>
  <c r="F16" i="1"/>
  <c r="B15" i="1"/>
  <c r="F15" i="1"/>
  <c r="B14" i="1"/>
  <c r="F14" i="1"/>
  <c r="B13" i="1"/>
  <c r="F13" i="1"/>
  <c r="B12" i="1"/>
  <c r="F12" i="1"/>
  <c r="B11" i="1"/>
  <c r="F11" i="1"/>
  <c r="B10" i="1"/>
  <c r="F10" i="1"/>
  <c r="B9" i="1"/>
  <c r="F9" i="1"/>
  <c r="B8" i="1"/>
  <c r="F8" i="1"/>
  <c r="B7" i="1"/>
  <c r="F7" i="1"/>
  <c r="B6" i="1"/>
  <c r="F6" i="1"/>
  <c r="B5" i="1"/>
  <c r="F5" i="1"/>
  <c r="B4" i="1"/>
  <c r="F4" i="1"/>
  <c r="B3" i="1"/>
  <c r="F3" i="1"/>
</calcChain>
</file>

<file path=xl/sharedStrings.xml><?xml version="1.0" encoding="utf-8"?>
<sst xmlns="http://schemas.openxmlformats.org/spreadsheetml/2006/main" count="133" uniqueCount="132">
  <si>
    <t>From manual</t>
  </si>
  <si>
    <t>Lookup Value</t>
  </si>
  <si>
    <t>Register ID</t>
  </si>
  <si>
    <t>Description</t>
  </si>
  <si>
    <t>Writable</t>
  </si>
  <si>
    <t>40001 Process Value (PV) N/A N/A N/A Read Only 1 = 1 Display unit</t>
  </si>
  <si>
    <t>Process Value (PV)</t>
  </si>
  <si>
    <t>40002 Active Setpoint (SP) -999 9999 0 Read/Write 1 = 1 Display unit</t>
  </si>
  <si>
    <t>Active Setpoint (SP)</t>
  </si>
  <si>
    <t>40003 Setpoint 1 (SP1) -999 9999 0 Read/Write 1 = 1 Display unit</t>
  </si>
  <si>
    <t>Setpoint 1 (SP1)</t>
  </si>
  <si>
    <t>40004 Setpoint 2 (SP2) -999 9999 0 Read/Write 1 = 1 Display unit</t>
  </si>
  <si>
    <t>Setpoint 2 (SP2)</t>
  </si>
  <si>
    <t>40005 Setpoint Deviation N/A N/A N/A Read Only 1 = 1 Display unit</t>
  </si>
  <si>
    <t>Setpoint Deviation</t>
  </si>
  <si>
    <t>40006 Alarm 1 Value -999 9999 100 Read/Write 1 = 1 Display unit</t>
  </si>
  <si>
    <t>Alarm 1 Value</t>
  </si>
  <si>
    <t>40007 Alarm 2 Value -999 9999 200 Read/Write 1 = 1 Display unit</t>
  </si>
  <si>
    <t>Alarm 2 Value</t>
  </si>
  <si>
    <t>40008 Alarm 3 Value -999 9999 300 Read/Write 1 = 1 Display unit</t>
  </si>
  <si>
    <t>Alarm 3 Value</t>
  </si>
  <si>
    <t>40009 Output Power 1 0 1000 0 Read/Write 1 = 0.1%; writable when in manual mode only.</t>
  </si>
  <si>
    <t>Output Power 1</t>
  </si>
  <si>
    <t>40010 Output Power 2 0 1000 0 Read/Write 1 = 0.1%; writable when in manual mode only.</t>
  </si>
  <si>
    <t>Output Power 2</t>
  </si>
  <si>
    <t>40011 PB Proportional band (Active) 1 999(.9)° or 9999 (process) 70 Read/Write 1 = 1 Display unit</t>
  </si>
  <si>
    <t>PB Proportional band (Active)</t>
  </si>
  <si>
    <t>40012 Integral time (Active) 0 9999 120 Read/Write 1 = 1 second</t>
  </si>
  <si>
    <t>Integral time (Active)</t>
  </si>
  <si>
    <t>40013 Derivative time (Active) 0 9999 30 Read/Write 1 = 1 second</t>
  </si>
  <si>
    <t>Derivative time (Active)</t>
  </si>
  <si>
    <t>40014 Integration default (Active) 0 1000 0 Read/Write 1 = 0.1 % output power</t>
  </si>
  <si>
    <t>Integration default (Active)</t>
  </si>
  <si>
    <t>40015 PID parameter set selection 0 1 0 Read/Write 0 = PID Set 1, 1 = PID Set 2</t>
  </si>
  <si>
    <t>PID parameter set selection</t>
  </si>
  <si>
    <t>40016 Auto-Tune Start 0 1 0 Read/Write 0 = No; 1 = Yes</t>
  </si>
  <si>
    <t>Auto-Tune Start</t>
  </si>
  <si>
    <t>40017 Control Mode Transfer (Auto/Manual) 0 1 0 Read/Write 0 = Automatic (PID), 1 = User (Manual Mode)</t>
  </si>
  <si>
    <t>Control Mode Transfer (Auto/Manual)</t>
  </si>
  <si>
    <t>40018 Controller Status 0 1 1 Read/Write 0: Stop, 1: Run</t>
  </si>
  <si>
    <t>Controller Status</t>
  </si>
  <si>
    <t>40019 Setpoint Select 0 1 0 Read/Write 0 = SP1, 1 = SP2</t>
  </si>
  <si>
    <t>Setpoint Select</t>
  </si>
  <si>
    <t>40020 SP Ramp Rate 0 999(.9)° or 9999 (process) 0 Read/Write 1 = 1 Display unit/minute; 0 = Ramping disabled</t>
  </si>
  <si>
    <t>SP Ramp Rate</t>
  </si>
  <si>
    <t>40021 LED Status N/A N/A N/A Read Only Bit State: 0 = Off, 1 = On b7: AT, b6:OUT1, b5: OUT2, b4: ALM1, b3: °C, b2: °F, b1: ALM2, b0: ALM3</t>
  </si>
  <si>
    <t>LED Status</t>
  </si>
  <si>
    <t>40022 Pushbutton Status N/A N/A N/A Read Only Bit State: 0 = Key pressed, 1 = Key not pressed b7: D, b6: Up, b5: F1, b4: N/A, b3: P, b2: Down, b1: F2, b0: N/A</t>
  </si>
  <si>
    <t>Pushbutton Status</t>
  </si>
  <si>
    <t xml:space="preserve">40023 Alarm Reset 0 7 0 Read/Write Bit State: 1 = reset alarm, bit is returned to zero following reset b3: Reset Alm3, b1: Reset Alm2, b0: Reset Alm1 </t>
  </si>
  <si>
    <t>Alarm Reset</t>
  </si>
  <si>
    <t>40024 Setpoint Ramping Disable 0 1 0 Read/Write 0 = Enabled, 1 = Disabled</t>
  </si>
  <si>
    <t>Setpoint Ramping Disable</t>
  </si>
  <si>
    <t>40025 Integral Action Disable 0 1 0 Read/Write 0 = Enabled, 1 = Disabled PID PARAMETERS</t>
  </si>
  <si>
    <t>Integral Action Disable</t>
  </si>
  <si>
    <t>40033 Proportional band 1 1 999(.9)° or 9999 (process) 70 Read/Write 1 = 1 Display unit</t>
  </si>
  <si>
    <t>Proportional band</t>
  </si>
  <si>
    <t>40034 Integral time 1 0 9999 120 Read/Write 1 = 1 second</t>
  </si>
  <si>
    <t xml:space="preserve">Integral time </t>
  </si>
  <si>
    <t>40035 Derivative time 1 0 9999 30 Read/Write 1 = 1 second</t>
  </si>
  <si>
    <t>Derivative time</t>
  </si>
  <si>
    <t>40036 Integration default 1 0 1000 0 Read/Write 1 = 0.1 %</t>
  </si>
  <si>
    <t>Integration default</t>
  </si>
  <si>
    <t>40037 Proportional band 2 1 999(.9)° or 9999 (process) 70 Read/Write 1 = 1 Display unit</t>
  </si>
  <si>
    <t>40038 Integral time 2 0 9999 120 Read/Write 1 = 1 second</t>
  </si>
  <si>
    <t>Integral time 2</t>
  </si>
  <si>
    <t>40039 Derivative time 2 0 9999 30 Read/Write 1 = 1 second</t>
  </si>
  <si>
    <t>Derivative time 2</t>
  </si>
  <si>
    <t>40040 Integration default 2 0 1000 0 Read/Write 1 = 0.1 %</t>
  </si>
  <si>
    <t>Integration default 2</t>
  </si>
  <si>
    <t>40041 Output Power Offset 0 1000 500 Read/Write 1 = 0.1 % output power INPUT PARAMETERS</t>
  </si>
  <si>
    <t>Output Power Offset</t>
  </si>
  <si>
    <t>40051 Input Type 0 19 1 Read/Write 0 = tc-K 1 = tc-J 2 = tc-t 3 = tc-E 4 = tc-N 5 = tc-r 6 = tc-S 7 = tc-b 8 = tc-L 9 = tc-U 10 = tc-txk 11 = r392 12 = r385 13 = n114 = cu50 15 = 5v 16 = 10v 17 = 0-20mA 18 = 4-20mA 19 = 0.05v</t>
  </si>
  <si>
    <t>Input Type</t>
  </si>
  <si>
    <t>40052 Temperature Scale 0 1 0 Read/Write 0 = °F, 1 = °C</t>
  </si>
  <si>
    <t>Temperature Scale</t>
  </si>
  <si>
    <t>40053 Decimal Resolution 0 3 0 Read/Write0 = 0 (No decimal place) 1 = 0.0, 2 = 0.00, 3 = 0.000. Temperature inputs are limited to 1 decimal point except for the thermocouple B,S,R types, which display in whole units only (0)</t>
  </si>
  <si>
    <t>Decimal Resolution</t>
  </si>
  <si>
    <t>40054 Digital Filtering 0 50 8 Read/Write 0 = least, 50 = most</t>
  </si>
  <si>
    <t>Digital Filtering</t>
  </si>
  <si>
    <t>40055 Input Filter Band 0 25(.0)° or 250 (process) 1 Read/Write 1 = 1 Display unit</t>
  </si>
  <si>
    <t>Input Filter Band</t>
  </si>
  <si>
    <t>40056 Shift/Offset -99(.9)° or 999 (process)99(.9)° or 999 (process) 0 Read/Write 1 = 1 Display unit</t>
  </si>
  <si>
    <t>Shift/Offset</t>
  </si>
  <si>
    <t>40057 Display Value Scaling Point 1 -999 9999 0 Read/Write 1 = 1 Display unit; Value associated with lower range of input signal (0V, 0mA or 4mA)</t>
  </si>
  <si>
    <t>Display Value Scaling Point 1</t>
  </si>
  <si>
    <t>40058 Display Value Scaling Point 2 -999 9999 1000 Read/Write 1 = 1 Display unit; Value associated with upper limit of input signal (50mV, 5V, 10V, or 20mA)</t>
  </si>
  <si>
    <t>Display Value Scaling Point 2</t>
  </si>
  <si>
    <t>40059 Setpoint Low Limit depending on sensor type Upper-limit of temperature range -148 Read/Write 1 = 1 Display unit</t>
  </si>
  <si>
    <t>Setpoint Low Limit</t>
  </si>
  <si>
    <t>40060 Setpoint High Limit Lower-limit of temperature range Depends on sensor type 2192 Read/Write 1 = 1 Display unit</t>
  </si>
  <si>
    <t>Setpoint High Limit</t>
  </si>
  <si>
    <t>40061 Cold Junction Compensation 0 1 0 Read/Write 0 = ON, 1 = OFF</t>
  </si>
  <si>
    <t>Cold Junction Compensation</t>
  </si>
  <si>
    <t>40062 User Input 1 Function 0 9 or 10 0 Read/Write 0 = NONE, 1 = Run/Stop, 2 = Setpoint 1/2 select, 3 = Auto/Manual control, 4 = PLOC, 5 = Integral Lock, 6 = SP Ramp Disable, 7 = Reset Alarms, 8 = Rst Alm1, 9 = Rst Alm2, 10 = Rst Alm3</t>
  </si>
  <si>
    <t>User Input 1 Function</t>
  </si>
  <si>
    <t>40063 User Input 2 Function 0 9 or 10 0 Read/Write 0 = NONE, 1 = Run/Stop, 2 = Setpoint 1/2 select, 3 = Auto/Manual control, 4 = PLOC, 5 = Integral Lock, 6 = SP Ramp Disable, 7 = Reset Alarms, 8 = Rst Alm1, 9 = Rst Alm2, 10 = Rst Alm3</t>
  </si>
  <si>
    <t>User Input 2 Function</t>
  </si>
  <si>
    <t>40064 F1 Key Function 0 6 or 7 0 Read/Write 0 = NONE, 1 = Run/Stop, 2 = Setpoint 1/2 select, 3 = Auto/Manual control, 4 = Reset Alarms, 5 = Rst Alm1 , 6 = Rst Alm2 , 7 = Rst Alm3</t>
  </si>
  <si>
    <t>F1 Key Function</t>
  </si>
  <si>
    <t>40065 F2 Key Function 0 6 or 7 0 Read/Write 0 = NONE, 1 = Run/Stop, 2 = Setpoint 1/2 select, 3 = Auto/Manual control, 4 = Reset Alarms, 5 = Rst Alm1 , 6 = Rst Alm2 , 7 = Rst Alm3</t>
  </si>
  <si>
    <t>F2 Key Function</t>
  </si>
  <si>
    <t xml:space="preserve">40081 Output Action 0 1 or 5 0 Read/Write Single Output Model: 0 = r1, 1 = d1; Dual Output Model: 0 = r1r2, 1 = d1r2, 2 = r1d2, 3 = d1d2, 4 = r1A2, 5 = d1A2 r = reverse acting, d = direct acting, A = Alarm 3, numeric value indicates OP1 or OP2, </t>
  </si>
  <si>
    <t>Output Action</t>
  </si>
  <si>
    <t>40082 Auto Control Mode 0 1 0 Read/Write 0 = PID, 1 = On-Off</t>
  </si>
  <si>
    <t>Auto Control Mode</t>
  </si>
  <si>
    <t>40083 Output 1 Cycle Time 0 250 20 Read/Write 1 = 0.1 sec; A setting of zero will keep output off.</t>
  </si>
  <si>
    <t>Output 1 Cycle Time</t>
  </si>
  <si>
    <t>40084 Output 1 Power Lower Limit 0 Output 1 Power High Limit 0 Read/Write 1 = 0.1 %</t>
  </si>
  <si>
    <t>Output 1 Power Lower Limit</t>
  </si>
  <si>
    <t>40085 Output 1 Power High Limit Output 1 Power Lower Limit 1000 1000 Read/Write 1 = 0.1 %</t>
  </si>
  <si>
    <t>Output 1 Power High Limit</t>
  </si>
  <si>
    <t>40086 Input Fail OP1 Power Level 0 1000 0 Read/Write 1 = 0.1 %</t>
  </si>
  <si>
    <t>Input Fail OP1 Power Level</t>
  </si>
  <si>
    <t>40087 Analog Out 1 Low Scaling Value -999 9999 0 Read/Write 1 = 0.1 %</t>
  </si>
  <si>
    <t>Analog Out 1 Low Scaling</t>
  </si>
  <si>
    <t>40088 Analog Out 1 High Scaling Value -999 9999 1000 Read/Write 1 = 0.1 %</t>
  </si>
  <si>
    <t>Analog Out 1 High Scaling Value</t>
  </si>
  <si>
    <t>40091 Output 2 Cycle Time 0 250 20 Read/Write 1 = 0.1 sec; A setting of zero will keep output off.</t>
  </si>
  <si>
    <t>Output 2 Cycle Time</t>
  </si>
  <si>
    <t>40092 Output 2 Power Lower Limit 0 Output 2 Power High Limit 0 Read/Write 1 = 0.1 %</t>
  </si>
  <si>
    <t>Output 2 Power Lower Limit</t>
  </si>
  <si>
    <t>40093 Output 2 Power High Limit Output 2 Power Lower Limit 1000 1000 Read/Write 1 = 0.1 %</t>
  </si>
  <si>
    <t>Output 2 Power High Limit</t>
  </si>
  <si>
    <t>40094 Input Fail OP2 Power Level 0 1000 0 Read/Write 1 = 0.1 %</t>
  </si>
  <si>
    <t>Input Fail OP2</t>
  </si>
  <si>
    <t>40095 Relative Gain 1 9999 100 Read/Write 1 = 0.01; In combination Reverse(r) and Direct(d) modes, this defines the gain of OP2 relative to OP1.</t>
  </si>
  <si>
    <t>Relative Gain</t>
  </si>
  <si>
    <t>40096 Deadband/Overlap -99(.9) or -999 (process) 999(.9)° or 9999 (process) 2 Read/Write 1 = 1 Display unit; In combination Reverse(r) and Direct(d) modes, this defines the overlap area in which both OP1 and OP2 are active (negative value) or the deadband area (positive value).</t>
  </si>
  <si>
    <t>Deadband/Overlap</t>
  </si>
  <si>
    <t>40097 On/Off Control Hysteresis 2 250(.0)° or 2500 (process) 2 Read/Write 1 = 1 Display unit</t>
  </si>
  <si>
    <t>On/Off Control Hysteresis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</si>
</sst>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selection activeCell="E7" sqref="E7"/>
    </sheetView>
  </sheetViews>
  <sheetFormatPr defaultRowHeight="15"/>
  <cols>
    <col min="1" max="1" width="90.140625" customWidth="1"/>
    <col min="2" max="2" width="15" customWidth="1"/>
    <col min="3" max="3" width="10.28515625" bestFit="1" customWidth="1"/>
    <col min="4" max="4" width="28.42578125" customWidth="1"/>
    <col min="5" max="5" width="9.42578125" bestFit="1" customWidth="1"/>
    <col min="6" max="6" width="38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1" t="s">
        <v>5</v>
      </c>
      <c r="B2" s="1">
        <f>C2+40001</f>
        <v>40001</v>
      </c>
      <c r="C2">
        <f>INT(RIGHT(LEFT(A2,5), 2))-1</f>
        <v>0</v>
      </c>
      <c r="D2" t="s">
        <v>6</v>
      </c>
      <c r="E2" t="b">
        <v>0</v>
      </c>
      <c r="F2" t="str">
        <f>_xlfn.CONCAT(C2, ": '",B2, " = ", D2, "',")</f>
        <v>0: '40001 = Process Value (PV)',</v>
      </c>
    </row>
    <row r="3" spans="1:6">
      <c r="A3" s="1" t="s">
        <v>7</v>
      </c>
      <c r="B3" s="1">
        <f t="shared" ref="B3:B64" si="0">C3+40001</f>
        <v>40002</v>
      </c>
      <c r="C3">
        <f t="shared" ref="C3:C64" si="1">INT(RIGHT(LEFT(A3,5), 2))-1</f>
        <v>1</v>
      </c>
      <c r="D3" s="1" t="s">
        <v>8</v>
      </c>
      <c r="E3" t="b">
        <v>1</v>
      </c>
      <c r="F3" t="str">
        <f>_xlfn.CONCAT(C3, ": '",B3, " = ", D3, "',")</f>
        <v>1: '40002 = Active Setpoint (SP)',</v>
      </c>
    </row>
    <row r="4" spans="1:6">
      <c r="A4" s="1" t="s">
        <v>9</v>
      </c>
      <c r="B4" s="1">
        <f t="shared" si="0"/>
        <v>40003</v>
      </c>
      <c r="C4">
        <f t="shared" si="1"/>
        <v>2</v>
      </c>
      <c r="D4" s="1" t="s">
        <v>10</v>
      </c>
      <c r="E4" t="b">
        <v>1</v>
      </c>
      <c r="F4" t="str">
        <f>_xlfn.CONCAT(C4, ": '",B4, " = ", D4, "',")</f>
        <v>2: '40003 = Setpoint 1 (SP1)',</v>
      </c>
    </row>
    <row r="5" spans="1:6">
      <c r="A5" s="1" t="s">
        <v>11</v>
      </c>
      <c r="B5" s="1">
        <f t="shared" si="0"/>
        <v>40004</v>
      </c>
      <c r="C5">
        <f t="shared" si="1"/>
        <v>3</v>
      </c>
      <c r="D5" s="1" t="s">
        <v>12</v>
      </c>
      <c r="E5" t="b">
        <v>1</v>
      </c>
      <c r="F5" t="str">
        <f>_xlfn.CONCAT(C5, ": '",B5, " = ", D5, "',")</f>
        <v>3: '40004 = Setpoint 2 (SP2)',</v>
      </c>
    </row>
    <row r="6" spans="1:6">
      <c r="A6" s="1" t="s">
        <v>13</v>
      </c>
      <c r="B6" s="1">
        <f t="shared" si="0"/>
        <v>40005</v>
      </c>
      <c r="C6">
        <f t="shared" si="1"/>
        <v>4</v>
      </c>
      <c r="D6" s="1" t="s">
        <v>14</v>
      </c>
      <c r="E6" t="b">
        <v>0</v>
      </c>
      <c r="F6" t="str">
        <f>_xlfn.CONCAT(C6, ": '",B6, " = ", D6, "',")</f>
        <v>4: '40005 = Setpoint Deviation',</v>
      </c>
    </row>
    <row r="7" spans="1:6">
      <c r="A7" s="1" t="s">
        <v>15</v>
      </c>
      <c r="B7" s="1">
        <f t="shared" si="0"/>
        <v>40006</v>
      </c>
      <c r="C7">
        <f t="shared" si="1"/>
        <v>5</v>
      </c>
      <c r="D7" s="1" t="s">
        <v>16</v>
      </c>
      <c r="E7" t="b">
        <v>1</v>
      </c>
      <c r="F7" t="str">
        <f>_xlfn.CONCAT(C7, ": '",B7, " = ", D7, "',")</f>
        <v>5: '40006 = Alarm 1 Value',</v>
      </c>
    </row>
    <row r="8" spans="1:6">
      <c r="A8" s="1" t="s">
        <v>17</v>
      </c>
      <c r="B8" s="1">
        <f t="shared" si="0"/>
        <v>40007</v>
      </c>
      <c r="C8">
        <f t="shared" si="1"/>
        <v>6</v>
      </c>
      <c r="D8" s="1" t="s">
        <v>18</v>
      </c>
      <c r="E8" t="b">
        <v>1</v>
      </c>
      <c r="F8" t="str">
        <f>_xlfn.CONCAT(C8, ": '",B8, " = ", D8, "',")</f>
        <v>6: '40007 = Alarm 2 Value',</v>
      </c>
    </row>
    <row r="9" spans="1:6">
      <c r="A9" s="1" t="s">
        <v>19</v>
      </c>
      <c r="B9" s="1">
        <f t="shared" si="0"/>
        <v>40008</v>
      </c>
      <c r="C9">
        <f t="shared" si="1"/>
        <v>7</v>
      </c>
      <c r="D9" s="1" t="s">
        <v>20</v>
      </c>
      <c r="E9" t="b">
        <v>1</v>
      </c>
      <c r="F9" t="str">
        <f>_xlfn.CONCAT(C9, ": '",B9, " = ", D9, "',")</f>
        <v>7: '40008 = Alarm 3 Value',</v>
      </c>
    </row>
    <row r="10" spans="1:6">
      <c r="A10" s="1" t="s">
        <v>21</v>
      </c>
      <c r="B10" s="1">
        <f t="shared" si="0"/>
        <v>40009</v>
      </c>
      <c r="C10">
        <f t="shared" si="1"/>
        <v>8</v>
      </c>
      <c r="D10" s="1" t="s">
        <v>22</v>
      </c>
      <c r="E10" t="b">
        <v>1</v>
      </c>
      <c r="F10" t="str">
        <f>_xlfn.CONCAT(C10, ": '",B10, " = ", D10, "',")</f>
        <v>8: '40009 = Output Power 1',</v>
      </c>
    </row>
    <row r="11" spans="1:6">
      <c r="A11" s="1" t="s">
        <v>23</v>
      </c>
      <c r="B11" s="1">
        <f t="shared" si="0"/>
        <v>40010</v>
      </c>
      <c r="C11">
        <f t="shared" si="1"/>
        <v>9</v>
      </c>
      <c r="D11" s="1" t="s">
        <v>24</v>
      </c>
      <c r="E11" t="b">
        <v>1</v>
      </c>
      <c r="F11" t="str">
        <f>_xlfn.CONCAT(C11, ": '",B11, " = ", D11, "',")</f>
        <v>9: '40010 = Output Power 2',</v>
      </c>
    </row>
    <row r="12" spans="1:6">
      <c r="A12" s="1" t="s">
        <v>25</v>
      </c>
      <c r="B12" s="1">
        <f t="shared" si="0"/>
        <v>40011</v>
      </c>
      <c r="C12">
        <f t="shared" si="1"/>
        <v>10</v>
      </c>
      <c r="D12" s="1" t="s">
        <v>26</v>
      </c>
      <c r="E12" t="b">
        <v>1</v>
      </c>
      <c r="F12" t="str">
        <f>_xlfn.CONCAT(C12, ": '",B12, " = ", D12, "',")</f>
        <v>10: '40011 = PB Proportional band (Active)',</v>
      </c>
    </row>
    <row r="13" spans="1:6">
      <c r="A13" s="1" t="s">
        <v>27</v>
      </c>
      <c r="B13" s="1">
        <f t="shared" si="0"/>
        <v>40012</v>
      </c>
      <c r="C13">
        <f t="shared" si="1"/>
        <v>11</v>
      </c>
      <c r="D13" s="1" t="s">
        <v>28</v>
      </c>
      <c r="E13" t="b">
        <v>1</v>
      </c>
      <c r="F13" t="str">
        <f>_xlfn.CONCAT(C13, ": '",B13, " = ", D13, "',")</f>
        <v>11: '40012 = Integral time (Active)',</v>
      </c>
    </row>
    <row r="14" spans="1:6">
      <c r="A14" s="1" t="s">
        <v>29</v>
      </c>
      <c r="B14" s="1">
        <f t="shared" si="0"/>
        <v>40013</v>
      </c>
      <c r="C14">
        <f t="shared" si="1"/>
        <v>12</v>
      </c>
      <c r="D14" s="1" t="s">
        <v>30</v>
      </c>
      <c r="E14" t="b">
        <v>1</v>
      </c>
      <c r="F14" t="str">
        <f>_xlfn.CONCAT(C14, ": '",B14, " = ", D14, "',")</f>
        <v>12: '40013 = Derivative time (Active)',</v>
      </c>
    </row>
    <row r="15" spans="1:6">
      <c r="A15" s="1" t="s">
        <v>31</v>
      </c>
      <c r="B15" s="1">
        <f t="shared" si="0"/>
        <v>40014</v>
      </c>
      <c r="C15">
        <f t="shared" si="1"/>
        <v>13</v>
      </c>
      <c r="D15" s="1" t="s">
        <v>32</v>
      </c>
      <c r="E15" t="b">
        <v>1</v>
      </c>
      <c r="F15" t="str">
        <f>_xlfn.CONCAT(C15, ": '",B15, " = ", D15, "',")</f>
        <v>13: '40014 = Integration default (Active)',</v>
      </c>
    </row>
    <row r="16" spans="1:6">
      <c r="A16" s="1" t="s">
        <v>33</v>
      </c>
      <c r="B16" s="1">
        <f t="shared" si="0"/>
        <v>40015</v>
      </c>
      <c r="C16">
        <f t="shared" si="1"/>
        <v>14</v>
      </c>
      <c r="D16" s="1" t="s">
        <v>34</v>
      </c>
      <c r="E16" t="b">
        <v>1</v>
      </c>
      <c r="F16" t="str">
        <f>_xlfn.CONCAT(C16, ": '",B16, " = ", D16, "',")</f>
        <v>14: '40015 = PID parameter set selection',</v>
      </c>
    </row>
    <row r="17" spans="1:6">
      <c r="A17" s="1" t="s">
        <v>35</v>
      </c>
      <c r="B17" s="1">
        <f t="shared" si="0"/>
        <v>40016</v>
      </c>
      <c r="C17">
        <f t="shared" si="1"/>
        <v>15</v>
      </c>
      <c r="D17" s="1" t="s">
        <v>36</v>
      </c>
      <c r="E17" t="b">
        <v>1</v>
      </c>
      <c r="F17" t="str">
        <f>_xlfn.CONCAT(C17, ": '",B17, " = ", D17, "',")</f>
        <v>15: '40016 = Auto-Tune Start',</v>
      </c>
    </row>
    <row r="18" spans="1:6" ht="30.75">
      <c r="A18" s="1" t="s">
        <v>37</v>
      </c>
      <c r="B18" s="1">
        <f t="shared" si="0"/>
        <v>40017</v>
      </c>
      <c r="C18">
        <f t="shared" si="1"/>
        <v>16</v>
      </c>
      <c r="D18" s="1" t="s">
        <v>38</v>
      </c>
      <c r="E18" t="b">
        <v>1</v>
      </c>
      <c r="F18" t="str">
        <f>_xlfn.CONCAT(C18, ": '",B18, " = ", D18, "',")</f>
        <v>16: '40017 = Control Mode Transfer (Auto/Manual)',</v>
      </c>
    </row>
    <row r="19" spans="1:6">
      <c r="A19" s="1" t="s">
        <v>39</v>
      </c>
      <c r="B19" s="1">
        <f t="shared" si="0"/>
        <v>40018</v>
      </c>
      <c r="C19">
        <f t="shared" si="1"/>
        <v>17</v>
      </c>
      <c r="D19" s="1" t="s">
        <v>40</v>
      </c>
      <c r="E19" t="b">
        <v>1</v>
      </c>
      <c r="F19" t="str">
        <f>_xlfn.CONCAT(C19, ": '",B19, " = ", D19, "',")</f>
        <v>17: '40018 = Controller Status',</v>
      </c>
    </row>
    <row r="20" spans="1:6">
      <c r="A20" s="1" t="s">
        <v>41</v>
      </c>
      <c r="B20" s="1">
        <f t="shared" si="0"/>
        <v>40019</v>
      </c>
      <c r="C20">
        <f t="shared" si="1"/>
        <v>18</v>
      </c>
      <c r="D20" s="1" t="s">
        <v>42</v>
      </c>
      <c r="E20" t="b">
        <v>1</v>
      </c>
      <c r="F20" t="str">
        <f>_xlfn.CONCAT(C20, ": '",B20, " = ", D20, "',")</f>
        <v>18: '40019 = Setpoint Select',</v>
      </c>
    </row>
    <row r="21" spans="1:6" ht="30.75">
      <c r="A21" s="1" t="s">
        <v>43</v>
      </c>
      <c r="B21" s="1">
        <f t="shared" si="0"/>
        <v>40020</v>
      </c>
      <c r="C21">
        <f t="shared" si="1"/>
        <v>19</v>
      </c>
      <c r="D21" s="1" t="s">
        <v>44</v>
      </c>
      <c r="E21" t="b">
        <v>1</v>
      </c>
      <c r="F21" t="str">
        <f>_xlfn.CONCAT(C21, ": '",B21, " = ", D21, "',")</f>
        <v>19: '40020 = SP Ramp Rate',</v>
      </c>
    </row>
    <row r="22" spans="1:6" ht="30.75">
      <c r="A22" s="1" t="s">
        <v>45</v>
      </c>
      <c r="B22" s="1">
        <f t="shared" si="0"/>
        <v>40021</v>
      </c>
      <c r="C22">
        <f t="shared" si="1"/>
        <v>20</v>
      </c>
      <c r="D22" s="1" t="s">
        <v>46</v>
      </c>
      <c r="E22" t="b">
        <v>0</v>
      </c>
      <c r="F22" t="str">
        <f>_xlfn.CONCAT(C22, ": '",B22, " = ", D22, "',")</f>
        <v>20: '40021 = LED Status',</v>
      </c>
    </row>
    <row r="23" spans="1:6" ht="30.75">
      <c r="A23" s="1" t="s">
        <v>47</v>
      </c>
      <c r="B23" s="1">
        <f t="shared" si="0"/>
        <v>40022</v>
      </c>
      <c r="C23">
        <f t="shared" si="1"/>
        <v>21</v>
      </c>
      <c r="D23" s="1" t="s">
        <v>48</v>
      </c>
      <c r="E23" t="b">
        <v>0</v>
      </c>
      <c r="F23" t="str">
        <f>_xlfn.CONCAT(C23, ": '",B23, " = ", D23, "',")</f>
        <v>21: '40022 = Pushbutton Status',</v>
      </c>
    </row>
    <row r="24" spans="1:6" ht="30.75">
      <c r="A24" s="1" t="s">
        <v>49</v>
      </c>
      <c r="B24" s="1">
        <f t="shared" si="0"/>
        <v>40023</v>
      </c>
      <c r="C24">
        <f t="shared" si="1"/>
        <v>22</v>
      </c>
      <c r="D24" s="1" t="s">
        <v>50</v>
      </c>
      <c r="E24" t="b">
        <v>1</v>
      </c>
      <c r="F24" t="str">
        <f>_xlfn.CONCAT(C24, ": '",B24, " = ", D24, "',")</f>
        <v>22: '40023 = Alarm Reset',</v>
      </c>
    </row>
    <row r="25" spans="1:6">
      <c r="A25" s="1" t="s">
        <v>51</v>
      </c>
      <c r="B25" s="1">
        <f t="shared" si="0"/>
        <v>40024</v>
      </c>
      <c r="C25">
        <f t="shared" si="1"/>
        <v>23</v>
      </c>
      <c r="D25" s="1" t="s">
        <v>52</v>
      </c>
      <c r="E25" t="b">
        <v>1</v>
      </c>
      <c r="F25" t="str">
        <f>_xlfn.CONCAT(C25, ": '",B25, " = ", D25, "',")</f>
        <v>23: '40024 = Setpoint Ramping Disable',</v>
      </c>
    </row>
    <row r="26" spans="1:6">
      <c r="A26" s="1" t="s">
        <v>53</v>
      </c>
      <c r="B26" s="1">
        <f t="shared" si="0"/>
        <v>40025</v>
      </c>
      <c r="C26">
        <f t="shared" si="1"/>
        <v>24</v>
      </c>
      <c r="D26" s="1" t="s">
        <v>54</v>
      </c>
      <c r="E26" t="b">
        <v>1</v>
      </c>
      <c r="F26" t="str">
        <f>_xlfn.CONCAT(C26, ": '",B26, " = ", D26, "',")</f>
        <v>24: '40025 = Integral Action Disable',</v>
      </c>
    </row>
    <row r="27" spans="1:6">
      <c r="A27" s="1" t="s">
        <v>55</v>
      </c>
      <c r="B27" s="1">
        <f t="shared" si="0"/>
        <v>40033</v>
      </c>
      <c r="C27">
        <f t="shared" si="1"/>
        <v>32</v>
      </c>
      <c r="D27" s="1" t="s">
        <v>56</v>
      </c>
      <c r="E27" t="b">
        <v>1</v>
      </c>
      <c r="F27" t="str">
        <f>_xlfn.CONCAT(C27, ": '",B27, " = ", D27, "',")</f>
        <v>32: '40033 = Proportional band',</v>
      </c>
    </row>
    <row r="28" spans="1:6">
      <c r="A28" s="1" t="s">
        <v>57</v>
      </c>
      <c r="B28" s="1">
        <f t="shared" si="0"/>
        <v>40034</v>
      </c>
      <c r="C28">
        <f t="shared" si="1"/>
        <v>33</v>
      </c>
      <c r="D28" s="1" t="s">
        <v>58</v>
      </c>
      <c r="E28" t="b">
        <v>1</v>
      </c>
      <c r="F28" t="str">
        <f>_xlfn.CONCAT(C28, ": '",B28, " = ", D28, "',")</f>
        <v>33: '40034 = Integral time ',</v>
      </c>
    </row>
    <row r="29" spans="1:6">
      <c r="A29" s="1" t="s">
        <v>59</v>
      </c>
      <c r="B29" s="1">
        <f t="shared" si="0"/>
        <v>40035</v>
      </c>
      <c r="C29">
        <f t="shared" si="1"/>
        <v>34</v>
      </c>
      <c r="D29" s="1" t="s">
        <v>60</v>
      </c>
      <c r="E29" t="b">
        <v>1</v>
      </c>
      <c r="F29" t="str">
        <f>_xlfn.CONCAT(C29, ": '",B29, " = ", D29, "',")</f>
        <v>34: '40035 = Derivative time',</v>
      </c>
    </row>
    <row r="30" spans="1:6">
      <c r="A30" s="1" t="s">
        <v>61</v>
      </c>
      <c r="B30" s="1">
        <f t="shared" si="0"/>
        <v>40036</v>
      </c>
      <c r="C30">
        <f t="shared" si="1"/>
        <v>35</v>
      </c>
      <c r="D30" s="1" t="s">
        <v>62</v>
      </c>
      <c r="E30" t="b">
        <v>1</v>
      </c>
      <c r="F30" t="str">
        <f>_xlfn.CONCAT(C30, ": '",B30, " = ", D30, "',")</f>
        <v>35: '40036 = Integration default',</v>
      </c>
    </row>
    <row r="31" spans="1:6">
      <c r="A31" s="1" t="s">
        <v>63</v>
      </c>
      <c r="B31" s="1">
        <f t="shared" si="0"/>
        <v>40037</v>
      </c>
      <c r="C31">
        <f t="shared" si="1"/>
        <v>36</v>
      </c>
      <c r="D31" s="1" t="s">
        <v>56</v>
      </c>
      <c r="E31" t="b">
        <v>1</v>
      </c>
      <c r="F31" t="str">
        <f>_xlfn.CONCAT(C31, ": '",B31, " = ", D31, "',")</f>
        <v>36: '40037 = Proportional band',</v>
      </c>
    </row>
    <row r="32" spans="1:6">
      <c r="A32" s="1" t="s">
        <v>64</v>
      </c>
      <c r="B32" s="1">
        <f t="shared" si="0"/>
        <v>40038</v>
      </c>
      <c r="C32">
        <f t="shared" si="1"/>
        <v>37</v>
      </c>
      <c r="D32" s="1" t="s">
        <v>65</v>
      </c>
      <c r="E32" t="b">
        <v>1</v>
      </c>
      <c r="F32" t="str">
        <f>_xlfn.CONCAT(C32, ": '",B32, " = ", D32, "',")</f>
        <v>37: '40038 = Integral time 2',</v>
      </c>
    </row>
    <row r="33" spans="1:6">
      <c r="A33" s="1" t="s">
        <v>66</v>
      </c>
      <c r="B33" s="1">
        <f t="shared" si="0"/>
        <v>40039</v>
      </c>
      <c r="C33">
        <f t="shared" si="1"/>
        <v>38</v>
      </c>
      <c r="D33" s="1" t="s">
        <v>67</v>
      </c>
      <c r="E33" t="b">
        <v>1</v>
      </c>
      <c r="F33" t="str">
        <f>_xlfn.CONCAT(C33, ": '",B33, " = ", D33, "',")</f>
        <v>38: '40039 = Derivative time 2',</v>
      </c>
    </row>
    <row r="34" spans="1:6">
      <c r="A34" s="1" t="s">
        <v>68</v>
      </c>
      <c r="B34" s="1">
        <f t="shared" si="0"/>
        <v>40040</v>
      </c>
      <c r="C34">
        <f t="shared" si="1"/>
        <v>39</v>
      </c>
      <c r="D34" s="1" t="s">
        <v>69</v>
      </c>
      <c r="E34" t="b">
        <v>1</v>
      </c>
      <c r="F34" t="str">
        <f>_xlfn.CONCAT(C34, ": '",B34, " = ", D34, "',")</f>
        <v>39: '40040 = Integration default 2',</v>
      </c>
    </row>
    <row r="35" spans="1:6">
      <c r="A35" s="1" t="s">
        <v>70</v>
      </c>
      <c r="B35" s="1">
        <f t="shared" si="0"/>
        <v>40041</v>
      </c>
      <c r="C35">
        <f t="shared" si="1"/>
        <v>40</v>
      </c>
      <c r="D35" s="1" t="s">
        <v>71</v>
      </c>
      <c r="E35" t="b">
        <v>1</v>
      </c>
      <c r="F35" t="str">
        <f>_xlfn.CONCAT(C35, ": '",B35, " = ", D35, "',")</f>
        <v>40: '40041 = Output Power Offset',</v>
      </c>
    </row>
    <row r="36" spans="1:6" ht="45.75">
      <c r="A36" s="1" t="s">
        <v>72</v>
      </c>
      <c r="B36" s="1">
        <f t="shared" si="0"/>
        <v>40051</v>
      </c>
      <c r="C36">
        <f t="shared" si="1"/>
        <v>50</v>
      </c>
      <c r="D36" s="1" t="s">
        <v>73</v>
      </c>
      <c r="E36" t="b">
        <v>1</v>
      </c>
      <c r="F36" t="str">
        <f>_xlfn.CONCAT(C36, ": '",B36, " = ", D36, "',")</f>
        <v>50: '40051 = Input Type',</v>
      </c>
    </row>
    <row r="37" spans="1:6">
      <c r="A37" s="1" t="s">
        <v>74</v>
      </c>
      <c r="B37" s="1">
        <f t="shared" si="0"/>
        <v>40052</v>
      </c>
      <c r="C37">
        <f t="shared" si="1"/>
        <v>51</v>
      </c>
      <c r="D37" s="1" t="s">
        <v>75</v>
      </c>
      <c r="E37" t="b">
        <v>1</v>
      </c>
      <c r="F37" t="str">
        <f>_xlfn.CONCAT(C37, ": '",B37, " = ", D37, "',")</f>
        <v>51: '40052 = Temperature Scale',</v>
      </c>
    </row>
    <row r="38" spans="1:6" ht="45.75">
      <c r="A38" s="1" t="s">
        <v>76</v>
      </c>
      <c r="B38" s="1">
        <f t="shared" si="0"/>
        <v>40053</v>
      </c>
      <c r="C38">
        <f t="shared" si="1"/>
        <v>52</v>
      </c>
      <c r="D38" s="1" t="s">
        <v>77</v>
      </c>
      <c r="E38" t="b">
        <v>1</v>
      </c>
      <c r="F38" t="str">
        <f>_xlfn.CONCAT(C38, ": '",B38, " = ", D38, "',")</f>
        <v>52: '40053 = Decimal Resolution',</v>
      </c>
    </row>
    <row r="39" spans="1:6">
      <c r="A39" s="1" t="s">
        <v>78</v>
      </c>
      <c r="B39" s="1">
        <f t="shared" si="0"/>
        <v>40054</v>
      </c>
      <c r="C39">
        <f t="shared" si="1"/>
        <v>53</v>
      </c>
      <c r="D39" s="1" t="s">
        <v>79</v>
      </c>
      <c r="E39" t="b">
        <v>1</v>
      </c>
      <c r="F39" t="str">
        <f>_xlfn.CONCAT(C39, ": '",B39, " = ", D39, "',")</f>
        <v>53: '40054 = Digital Filtering',</v>
      </c>
    </row>
    <row r="40" spans="1:6">
      <c r="A40" s="1" t="s">
        <v>80</v>
      </c>
      <c r="B40" s="1">
        <f t="shared" si="0"/>
        <v>40055</v>
      </c>
      <c r="C40">
        <f t="shared" si="1"/>
        <v>54</v>
      </c>
      <c r="D40" s="1" t="s">
        <v>81</v>
      </c>
      <c r="E40" t="b">
        <v>1</v>
      </c>
      <c r="F40" t="str">
        <f>_xlfn.CONCAT(C40, ": '",B40, " = ", D40, "',")</f>
        <v>54: '40055 = Input Filter Band',</v>
      </c>
    </row>
    <row r="41" spans="1:6">
      <c r="A41" s="1" t="s">
        <v>82</v>
      </c>
      <c r="B41" s="1">
        <f t="shared" si="0"/>
        <v>40056</v>
      </c>
      <c r="C41">
        <f t="shared" si="1"/>
        <v>55</v>
      </c>
      <c r="D41" s="1" t="s">
        <v>83</v>
      </c>
      <c r="E41" t="b">
        <v>1</v>
      </c>
      <c r="F41" t="str">
        <f>_xlfn.CONCAT(C41, ": '",B41, " = ", D41, "',")</f>
        <v>55: '40056 = Shift/Offset',</v>
      </c>
    </row>
    <row r="42" spans="1:6" ht="30.75">
      <c r="A42" s="1" t="s">
        <v>84</v>
      </c>
      <c r="B42" s="1">
        <f t="shared" si="0"/>
        <v>40057</v>
      </c>
      <c r="C42">
        <f t="shared" si="1"/>
        <v>56</v>
      </c>
      <c r="D42" s="1" t="s">
        <v>85</v>
      </c>
      <c r="E42" t="b">
        <v>1</v>
      </c>
      <c r="F42" t="str">
        <f>_xlfn.CONCAT(C42, ": '",B42, " = ", D42, "',")</f>
        <v>56: '40057 = Display Value Scaling Point 1',</v>
      </c>
    </row>
    <row r="43" spans="1:6" ht="30.75">
      <c r="A43" s="1" t="s">
        <v>86</v>
      </c>
      <c r="B43" s="1">
        <f t="shared" si="0"/>
        <v>40058</v>
      </c>
      <c r="C43">
        <f t="shared" si="1"/>
        <v>57</v>
      </c>
      <c r="D43" s="1" t="s">
        <v>87</v>
      </c>
      <c r="E43" t="b">
        <v>1</v>
      </c>
      <c r="F43" t="str">
        <f>_xlfn.CONCAT(C43, ": '",B43, " = ", D43, "',")</f>
        <v>57: '40058 = Display Value Scaling Point 2',</v>
      </c>
    </row>
    <row r="44" spans="1:6" ht="30.75">
      <c r="A44" s="1" t="s">
        <v>88</v>
      </c>
      <c r="B44" s="1">
        <f t="shared" si="0"/>
        <v>40059</v>
      </c>
      <c r="C44">
        <f t="shared" si="1"/>
        <v>58</v>
      </c>
      <c r="D44" s="1" t="s">
        <v>89</v>
      </c>
      <c r="E44" t="b">
        <v>1</v>
      </c>
      <c r="F44" t="str">
        <f>_xlfn.CONCAT(C44, ": '",B44, " = ", D44, "',")</f>
        <v>58: '40059 = Setpoint Low Limit',</v>
      </c>
    </row>
    <row r="45" spans="1:6" ht="30.75">
      <c r="A45" s="1" t="s">
        <v>90</v>
      </c>
      <c r="B45" s="1">
        <f t="shared" si="0"/>
        <v>40060</v>
      </c>
      <c r="C45">
        <f t="shared" si="1"/>
        <v>59</v>
      </c>
      <c r="D45" s="1" t="s">
        <v>91</v>
      </c>
      <c r="E45" t="b">
        <v>1</v>
      </c>
      <c r="F45" t="str">
        <f>_xlfn.CONCAT(C45, ": '",B45, " = ", D45, "',")</f>
        <v>59: '40060 = Setpoint High Limit',</v>
      </c>
    </row>
    <row r="46" spans="1:6">
      <c r="A46" s="1" t="s">
        <v>92</v>
      </c>
      <c r="B46" s="1">
        <f t="shared" si="0"/>
        <v>40061</v>
      </c>
      <c r="C46">
        <f t="shared" si="1"/>
        <v>60</v>
      </c>
      <c r="D46" s="1" t="s">
        <v>93</v>
      </c>
      <c r="E46" t="b">
        <v>1</v>
      </c>
      <c r="F46" t="str">
        <f>_xlfn.CONCAT(C46, ": '",B46, " = ", D46, "',")</f>
        <v>60: '40061 = Cold Junction Compensation',</v>
      </c>
    </row>
    <row r="47" spans="1:6" ht="45.75">
      <c r="A47" s="1" t="s">
        <v>94</v>
      </c>
      <c r="B47" s="1">
        <f t="shared" si="0"/>
        <v>40062</v>
      </c>
      <c r="C47">
        <f t="shared" si="1"/>
        <v>61</v>
      </c>
      <c r="D47" s="1" t="s">
        <v>95</v>
      </c>
      <c r="E47" t="b">
        <v>1</v>
      </c>
      <c r="F47" t="str">
        <f>_xlfn.CONCAT(C47, ": '",B47, " = ", D47, "',")</f>
        <v>61: '40062 = User Input 1 Function',</v>
      </c>
    </row>
    <row r="48" spans="1:6" ht="45.75">
      <c r="A48" s="1" t="s">
        <v>96</v>
      </c>
      <c r="B48" s="1">
        <f t="shared" si="0"/>
        <v>40063</v>
      </c>
      <c r="C48">
        <f t="shared" si="1"/>
        <v>62</v>
      </c>
      <c r="D48" s="1" t="s">
        <v>97</v>
      </c>
      <c r="E48" t="b">
        <v>1</v>
      </c>
      <c r="F48" t="str">
        <f>_xlfn.CONCAT(C48, ": '",B48, " = ", D48, "',")</f>
        <v>62: '40063 = User Input 2 Function',</v>
      </c>
    </row>
    <row r="49" spans="1:6" ht="30.75">
      <c r="A49" s="1" t="s">
        <v>98</v>
      </c>
      <c r="B49" s="1">
        <f t="shared" si="0"/>
        <v>40064</v>
      </c>
      <c r="C49">
        <f t="shared" si="1"/>
        <v>63</v>
      </c>
      <c r="D49" s="1" t="s">
        <v>99</v>
      </c>
      <c r="E49" t="b">
        <v>1</v>
      </c>
      <c r="F49" t="str">
        <f>_xlfn.CONCAT(C49, ": '",B49, " = ", D49, "',")</f>
        <v>63: '40064 = F1 Key Function',</v>
      </c>
    </row>
    <row r="50" spans="1:6" ht="30.75">
      <c r="A50" s="1" t="s">
        <v>100</v>
      </c>
      <c r="B50" s="1">
        <f t="shared" si="0"/>
        <v>40065</v>
      </c>
      <c r="C50">
        <f t="shared" si="1"/>
        <v>64</v>
      </c>
      <c r="D50" s="1" t="s">
        <v>101</v>
      </c>
      <c r="E50" t="b">
        <v>1</v>
      </c>
      <c r="F50" t="str">
        <f>_xlfn.CONCAT(C50, ": '",B50, " = ", D50, "',")</f>
        <v>64: '40065 = F2 Key Function',</v>
      </c>
    </row>
    <row r="51" spans="1:6" ht="45.75">
      <c r="A51" s="1" t="s">
        <v>102</v>
      </c>
      <c r="B51" s="1">
        <f t="shared" si="0"/>
        <v>40081</v>
      </c>
      <c r="C51">
        <f t="shared" si="1"/>
        <v>80</v>
      </c>
      <c r="D51" s="1" t="s">
        <v>103</v>
      </c>
      <c r="E51" t="b">
        <v>1</v>
      </c>
      <c r="F51" t="str">
        <f>_xlfn.CONCAT(C51, ": '",B51, " = ", D51, "',")</f>
        <v>80: '40081 = Output Action',</v>
      </c>
    </row>
    <row r="52" spans="1:6">
      <c r="A52" s="1" t="s">
        <v>104</v>
      </c>
      <c r="B52" s="1">
        <f t="shared" si="0"/>
        <v>40082</v>
      </c>
      <c r="C52">
        <f t="shared" si="1"/>
        <v>81</v>
      </c>
      <c r="D52" s="1" t="s">
        <v>105</v>
      </c>
      <c r="E52" t="b">
        <v>1</v>
      </c>
      <c r="F52" t="str">
        <f>_xlfn.CONCAT(C52, ": '",B52, " = ", D52, "',")</f>
        <v>81: '40082 = Auto Control Mode',</v>
      </c>
    </row>
    <row r="53" spans="1:6">
      <c r="A53" s="1" t="s">
        <v>106</v>
      </c>
      <c r="B53" s="1">
        <f t="shared" si="0"/>
        <v>40083</v>
      </c>
      <c r="C53">
        <f t="shared" si="1"/>
        <v>82</v>
      </c>
      <c r="D53" s="1" t="s">
        <v>107</v>
      </c>
      <c r="E53" t="b">
        <v>1</v>
      </c>
      <c r="F53" t="str">
        <f>_xlfn.CONCAT(C53, ": '",B53, " = ", D53, "',")</f>
        <v>82: '40083 = Output 1 Cycle Time',</v>
      </c>
    </row>
    <row r="54" spans="1:6">
      <c r="A54" s="1" t="s">
        <v>108</v>
      </c>
      <c r="B54" s="1">
        <f t="shared" si="0"/>
        <v>40084</v>
      </c>
      <c r="C54">
        <f t="shared" si="1"/>
        <v>83</v>
      </c>
      <c r="D54" s="1" t="s">
        <v>109</v>
      </c>
      <c r="E54" t="b">
        <v>1</v>
      </c>
      <c r="F54" t="str">
        <f>_xlfn.CONCAT(C54, ": '",B54, " = ", D54, "',")</f>
        <v>83: '40084 = Output 1 Power Lower Limit',</v>
      </c>
    </row>
    <row r="55" spans="1:6">
      <c r="A55" s="1" t="s">
        <v>110</v>
      </c>
      <c r="B55" s="1">
        <f t="shared" si="0"/>
        <v>40085</v>
      </c>
      <c r="C55">
        <f t="shared" si="1"/>
        <v>84</v>
      </c>
      <c r="D55" s="1" t="s">
        <v>111</v>
      </c>
      <c r="E55" t="b">
        <v>1</v>
      </c>
      <c r="F55" t="str">
        <f>_xlfn.CONCAT(C55, ": '",B55, " = ", D55, "',")</f>
        <v>84: '40085 = Output 1 Power High Limit',</v>
      </c>
    </row>
    <row r="56" spans="1:6">
      <c r="A56" s="1" t="s">
        <v>112</v>
      </c>
      <c r="B56" s="1">
        <f t="shared" si="0"/>
        <v>40086</v>
      </c>
      <c r="C56">
        <f t="shared" si="1"/>
        <v>85</v>
      </c>
      <c r="D56" s="1" t="s">
        <v>113</v>
      </c>
      <c r="E56" t="b">
        <v>1</v>
      </c>
      <c r="F56" t="str">
        <f>_xlfn.CONCAT(C56, ": '",B56, " = ", D56, "',")</f>
        <v>85: '40086 = Input Fail OP1 Power Level',</v>
      </c>
    </row>
    <row r="57" spans="1:6">
      <c r="A57" s="1" t="s">
        <v>114</v>
      </c>
      <c r="B57" s="1">
        <f t="shared" si="0"/>
        <v>40087</v>
      </c>
      <c r="C57">
        <f t="shared" si="1"/>
        <v>86</v>
      </c>
      <c r="D57" s="1" t="s">
        <v>115</v>
      </c>
      <c r="E57" t="b">
        <v>1</v>
      </c>
      <c r="F57" t="str">
        <f>_xlfn.CONCAT(C57, ": '",B57, " = ", D57, "',")</f>
        <v>86: '40087 = Analog Out 1 Low Scaling',</v>
      </c>
    </row>
    <row r="58" spans="1:6">
      <c r="A58" s="1" t="s">
        <v>116</v>
      </c>
      <c r="B58" s="1">
        <f t="shared" si="0"/>
        <v>40088</v>
      </c>
      <c r="C58">
        <f t="shared" si="1"/>
        <v>87</v>
      </c>
      <c r="D58" s="1" t="s">
        <v>117</v>
      </c>
      <c r="E58" t="b">
        <v>1</v>
      </c>
      <c r="F58" t="str">
        <f>_xlfn.CONCAT(C58, ": '",B58, " = ", D58, "',")</f>
        <v>87: '40088 = Analog Out 1 High Scaling Value',</v>
      </c>
    </row>
    <row r="59" spans="1:6">
      <c r="A59" s="1" t="s">
        <v>118</v>
      </c>
      <c r="B59" s="1">
        <f t="shared" si="0"/>
        <v>40091</v>
      </c>
      <c r="C59">
        <f t="shared" si="1"/>
        <v>90</v>
      </c>
      <c r="D59" s="1" t="s">
        <v>119</v>
      </c>
      <c r="E59" t="b">
        <v>1</v>
      </c>
      <c r="F59" t="str">
        <f>_xlfn.CONCAT(C59, ": '",B59, " = ", D59, "',")</f>
        <v>90: '40091 = Output 2 Cycle Time',</v>
      </c>
    </row>
    <row r="60" spans="1:6">
      <c r="A60" s="1" t="s">
        <v>120</v>
      </c>
      <c r="B60" s="1">
        <f t="shared" si="0"/>
        <v>40092</v>
      </c>
      <c r="C60">
        <f t="shared" si="1"/>
        <v>91</v>
      </c>
      <c r="D60" s="1" t="s">
        <v>121</v>
      </c>
      <c r="E60" t="b">
        <v>1</v>
      </c>
      <c r="F60" t="str">
        <f>_xlfn.CONCAT(C60, ": '",B60, " = ", D60, "',")</f>
        <v>91: '40092 = Output 2 Power Lower Limit',</v>
      </c>
    </row>
    <row r="61" spans="1:6">
      <c r="A61" s="1" t="s">
        <v>122</v>
      </c>
      <c r="B61" s="1">
        <f t="shared" si="0"/>
        <v>40093</v>
      </c>
      <c r="C61">
        <f t="shared" si="1"/>
        <v>92</v>
      </c>
      <c r="D61" s="1" t="s">
        <v>123</v>
      </c>
      <c r="E61" t="b">
        <v>1</v>
      </c>
      <c r="F61" t="str">
        <f>_xlfn.CONCAT(C61, ": '",B61, " = ", D61, "',")</f>
        <v>92: '40093 = Output 2 Power High Limit',</v>
      </c>
    </row>
    <row r="62" spans="1:6">
      <c r="A62" s="1" t="s">
        <v>124</v>
      </c>
      <c r="B62" s="1">
        <f t="shared" si="0"/>
        <v>40094</v>
      </c>
      <c r="C62">
        <f t="shared" si="1"/>
        <v>93</v>
      </c>
      <c r="D62" s="1" t="s">
        <v>125</v>
      </c>
      <c r="E62" t="b">
        <v>1</v>
      </c>
      <c r="F62" t="str">
        <f>_xlfn.CONCAT(C62, ": '",B62, " = ", D62, "',")</f>
        <v>93: '40094 = Input Fail OP2',</v>
      </c>
    </row>
    <row r="63" spans="1:6" ht="30.75">
      <c r="A63" s="1" t="s">
        <v>126</v>
      </c>
      <c r="B63" s="1">
        <f t="shared" si="0"/>
        <v>40095</v>
      </c>
      <c r="C63">
        <f t="shared" si="1"/>
        <v>94</v>
      </c>
      <c r="D63" s="1" t="s">
        <v>127</v>
      </c>
      <c r="E63" t="b">
        <v>1</v>
      </c>
      <c r="F63" t="str">
        <f>_xlfn.CONCAT(C63, ": '",B63, " = ", D63, "',")</f>
        <v>94: '40095 = Relative Gain',</v>
      </c>
    </row>
    <row r="64" spans="1:6" ht="45.75">
      <c r="A64" s="1" t="s">
        <v>128</v>
      </c>
      <c r="B64" s="1">
        <f t="shared" si="0"/>
        <v>40096</v>
      </c>
      <c r="C64">
        <f t="shared" si="1"/>
        <v>95</v>
      </c>
      <c r="D64" s="1" t="s">
        <v>129</v>
      </c>
      <c r="E64" t="b">
        <v>1</v>
      </c>
      <c r="F64" t="str">
        <f>_xlfn.CONCAT(C64, ": '",B64, " = ", D64, "',")</f>
        <v>95: '40096 = Deadband/Overlap',</v>
      </c>
    </row>
    <row r="65" spans="1:6">
      <c r="A65" s="1" t="s">
        <v>130</v>
      </c>
      <c r="B65" s="1">
        <f t="shared" ref="B65" si="2">C65+40001</f>
        <v>40097</v>
      </c>
      <c r="C65">
        <f t="shared" ref="C65" si="3">INT(RIGHT(LEFT(A65,5), 2))-1</f>
        <v>96</v>
      </c>
      <c r="D65" s="1" t="s">
        <v>131</v>
      </c>
      <c r="E65" t="b">
        <v>1</v>
      </c>
      <c r="F65" t="str">
        <f>_xlfn.CONCAT(C65, ": '",B65, " = ", D65, "',")</f>
        <v>96: '40097 = On/Off Control Hysteresis 2',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71c682-0798-4fa7-b644-963a21905048">
      <Terms xmlns="http://schemas.microsoft.com/office/infopath/2007/PartnerControls"/>
    </lcf76f155ced4ddcb4097134ff3c332f>
    <TaxCatchAll xmlns="8ee63c3f-6664-46a2-a09b-d2fcf07cd2a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3716BC81D36D4FA3224C915DD6F16E" ma:contentTypeVersion="12" ma:contentTypeDescription="Create a new document." ma:contentTypeScope="" ma:versionID="c0adb537b8fb0054a857dfa810e5120f">
  <xsd:schema xmlns:xsd="http://www.w3.org/2001/XMLSchema" xmlns:xs="http://www.w3.org/2001/XMLSchema" xmlns:p="http://schemas.microsoft.com/office/2006/metadata/properties" xmlns:ns2="5071c682-0798-4fa7-b644-963a21905048" xmlns:ns3="8ee63c3f-6664-46a2-a09b-d2fcf07cd2a9" targetNamespace="http://schemas.microsoft.com/office/2006/metadata/properties" ma:root="true" ma:fieldsID="ca965381861019f7aebfaa2d88debc3a" ns2:_="" ns3:_="">
    <xsd:import namespace="5071c682-0798-4fa7-b644-963a21905048"/>
    <xsd:import namespace="8ee63c3f-6664-46a2-a09b-d2fcf07cd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71c682-0798-4fa7-b644-963a219050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2e5000d-0c97-42f1-930c-e0500acdf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63c3f-6664-46a2-a09b-d2fcf07cd2a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1eb7ef7-b38d-4357-a894-8146d73eb6a6}" ma:internalName="TaxCatchAll" ma:showField="CatchAllData" ma:web="8ee63c3f-6664-46a2-a09b-d2fcf07cd2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E46270-9599-48D9-8F70-9CEE1A66EE73}"/>
</file>

<file path=customXml/itemProps2.xml><?xml version="1.0" encoding="utf-8"?>
<ds:datastoreItem xmlns:ds="http://schemas.openxmlformats.org/officeDocument/2006/customXml" ds:itemID="{0F8F64F9-C2A9-43DF-BC11-050A08B15EA4}"/>
</file>

<file path=customXml/itemProps3.xml><?xml version="1.0" encoding="utf-8"?>
<ds:datastoreItem xmlns:ds="http://schemas.openxmlformats.org/officeDocument/2006/customXml" ds:itemID="{58D1F752-E9D8-492F-B4EE-6CCC29CBD0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Ritchey</cp:lastModifiedBy>
  <cp:revision/>
  <dcterms:created xsi:type="dcterms:W3CDTF">2026-03-27T23:48:11Z</dcterms:created>
  <dcterms:modified xsi:type="dcterms:W3CDTF">2026-03-30T17:02:53Z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0x010100C63716BC81D36D4FA3224C915DD6F16E</vt:lpwstr>
  </property>
  <property fmtid="{D5CDD505-2E9C-101B-9397-08002B2CF9AE}" pid="3" name="MediaServiceImageTags">
    <vt:lpwstr/>
  </property>
</Properties>
</file>